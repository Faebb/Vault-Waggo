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unipanamericanaeduco-my.sharepoint.com/personal/fecheverri_ucompensar_edu_co/Documents/Microsoft Teams Chat Files/"/>
    </mc:Choice>
  </mc:AlternateContent>
  <xr:revisionPtr revIDLastSave="18" documentId="11_5EAB9895D3BA959C0D2E37E0F798666573C31DA1" xr6:coauthVersionLast="47" xr6:coauthVersionMax="47" xr10:uidLastSave="{F73C03F9-C52F-4931-8FE6-F3BF97A8B3EB}"/>
  <bookViews>
    <workbookView xWindow="-108" yWindow="-108" windowWidth="23256" windowHeight="13896" tabRatio="500" firstSheet="2" xr2:uid="{00000000-000D-0000-FFFF-FFFF00000000}"/>
  </bookViews>
  <sheets>
    <sheet name="Portada" sheetId="1" r:id="rId1"/>
    <sheet name="Requerimientos Funcionales" sheetId="2" r:id="rId2"/>
    <sheet name="Requerimientos No Funcionales" sheetId="3" r:id="rId3"/>
  </sheets>
  <definedNames>
    <definedName name="_xlnm._FilterDatabase" localSheetId="1" hidden="1">'Requerimientos Funcionales'!$A$4:$I$24</definedName>
    <definedName name="_xlnm._FilterDatabase" localSheetId="2" hidden="1">'Requerimientos No Funcionales'!$A$4:$E$15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21" i="1"/>
  <c r="F20" i="1"/>
</calcChain>
</file>

<file path=xl/sharedStrings.xml><?xml version="1.0" encoding="utf-8"?>
<sst xmlns="http://schemas.openxmlformats.org/spreadsheetml/2006/main" count="283" uniqueCount="182">
  <si>
    <t>WAGGO</t>
  </si>
  <si>
    <t>Especificación de Requerimientos de Software (SRS)</t>
  </si>
  <si>
    <t>Proyecto</t>
  </si>
  <si>
    <t>App de Paseo de Perros — waggo</t>
  </si>
  <si>
    <t>Versión</t>
  </si>
  <si>
    <t>1.0</t>
  </si>
  <si>
    <t>Fecha</t>
  </si>
  <si>
    <t>28/08/2026</t>
  </si>
  <si>
    <t>Autor</t>
  </si>
  <si>
    <t>Fauner Echeverri Luis Carlos Medina</t>
  </si>
  <si>
    <t>Estado</t>
  </si>
  <si>
    <t>Borrador</t>
  </si>
  <si>
    <t>Fuente</t>
  </si>
  <si>
    <t>Documento de visión de producto y Q&amp;A técnico (Bloques 1–5)</t>
  </si>
  <si>
    <t>Leyendas</t>
  </si>
  <si>
    <t>Prioridad</t>
  </si>
  <si>
    <t>Alta</t>
  </si>
  <si>
    <t>Media</t>
  </si>
  <si>
    <t>Baja</t>
  </si>
  <si>
    <t>Fase</t>
  </si>
  <si>
    <t>MVP</t>
  </si>
  <si>
    <t>Fase 2</t>
  </si>
  <si>
    <t>Resumen</t>
  </si>
  <si>
    <t>Total Requerimientos Funcionales</t>
  </si>
  <si>
    <t xml:space="preserve">  •  Prioridad Alta</t>
  </si>
  <si>
    <t xml:space="preserve">  •  Prioridad Media</t>
  </si>
  <si>
    <t xml:space="preserve">  •  Prioridad Baja</t>
  </si>
  <si>
    <t xml:space="preserve">  •  Alcance MVP</t>
  </si>
  <si>
    <t xml:space="preserve">  •  Alcance Fase 2</t>
  </si>
  <si>
    <t>Total Requerimientos No Funcionales</t>
  </si>
  <si>
    <t>Requerimientos Funcionales</t>
  </si>
  <si>
    <t>App de Paseo de Perros  ·  v1.0  ·  28/08/2026</t>
  </si>
  <si>
    <t>ID</t>
  </si>
  <si>
    <t>Módulo</t>
  </si>
  <si>
    <t>Requerimiento</t>
  </si>
  <si>
    <t>Descripción</t>
  </si>
  <si>
    <t>Actor</t>
  </si>
  <si>
    <t>Criterios de Aceptación</t>
  </si>
  <si>
    <t>Integración / Dependencia</t>
  </si>
  <si>
    <t>RF-001</t>
  </si>
  <si>
    <t>Gestión de Usuarios y Perfiles</t>
  </si>
  <si>
    <t>Registro de dueños</t>
  </si>
  <si>
    <t>El sistema debe permitir a los dueños de perros crear una cuenta con sus datos personales y de contacto.</t>
  </si>
  <si>
    <t>Dueño</t>
  </si>
  <si>
    <t>El usuario completa el registro con correo/teléfono, recibe confirmación y la cuenta queda activa.</t>
  </si>
  <si>
    <t>—</t>
  </si>
  <si>
    <t>RF-002</t>
  </si>
  <si>
    <t>Registro de paseadores</t>
  </si>
  <si>
    <t>El sistema debe permitir a los paseadores registrarse aportando datos personales, documento de identidad y foto.</t>
  </si>
  <si>
    <t>Paseador</t>
  </si>
  <si>
    <t>El paseador carga la información requerida y la cuenta queda en estado 'pendiente de verificación'.</t>
  </si>
  <si>
    <t>API validación de identidad</t>
  </si>
  <si>
    <t>RF-003</t>
  </si>
  <si>
    <t>Verificación de identidad y antecedentes</t>
  </si>
  <si>
    <t>El sistema debe validar la identidad (biométrica) y los antecedentes judiciales del paseador antes de habilitarlo.</t>
  </si>
  <si>
    <t>Paseador / Plataforma</t>
  </si>
  <si>
    <t>Solo los paseadores con verificación biométrica y antecedentes aprobados pueden recibir paseos.</t>
  </si>
  <si>
    <t>API biométrica + antecedentes judiciales</t>
  </si>
  <si>
    <t>RF-004</t>
  </si>
  <si>
    <t>Gestión de perfil de mascota</t>
  </si>
  <si>
    <t>El sistema debe permitir al dueño registrar una o más mascotas con su historial médico y de vacunación.</t>
  </si>
  <si>
    <t>El dueño registra las mascotas con sus datos médicos; la información queda cifrada y asociada a su perfil.</t>
  </si>
  <si>
    <t>RF-005</t>
  </si>
  <si>
    <t>Autenticación segura (2FA)</t>
  </si>
  <si>
    <t>El sistema debe autenticar a los usuarios mediante doble factor de autenticación (2FA).</t>
  </si>
  <si>
    <t>Dueño / Paseador</t>
  </si>
  <si>
    <t>El acceso exige credenciales más un segundo factor; los intentos fallidos quedan registrados.</t>
  </si>
  <si>
    <t>RF-006</t>
  </si>
  <si>
    <t>Búsqueda y Matching</t>
  </si>
  <si>
    <t>Motor de matching por cercanía</t>
  </si>
  <si>
    <t>El sistema debe emparejar a los dueños con paseadores disponibles según la proximidad geográfica.</t>
  </si>
  <si>
    <t>Al solicitar un paseo se muestran paseadores verificados ordenados por cercanía.</t>
  </si>
  <si>
    <t>Google Maps / Mapbox</t>
  </si>
  <si>
    <t>RF-007</t>
  </si>
  <si>
    <t>Solicitud y agendamiento de paseo</t>
  </si>
  <si>
    <t>El sistema debe permitir solicitar un paseo indicando tipo/duración y programar el horario.</t>
  </si>
  <si>
    <t>El dueño selecciona tipo y horario; el paseador recibe la solicitud y la acepta o rechaza.</t>
  </si>
  <si>
    <t>Notificaciones push</t>
  </si>
  <si>
    <t>RF-008</t>
  </si>
  <si>
    <t>Rastreo y Seguridad en Tiempo Real</t>
  </si>
  <si>
    <t>Geolocalización GPS en tiempo real</t>
  </si>
  <si>
    <t>El sistema debe mostrar la ubicación del paseo en tiempo real durante todo el servicio.</t>
  </si>
  <si>
    <t>Durante el paseo, el dueño visualiza la ruta y la posición actualizada del paseador.</t>
  </si>
  <si>
    <t>RF-009</t>
  </si>
  <si>
    <t>Geocercas (perímetro autorizado)</t>
  </si>
  <si>
    <t>El sistema debe definir un perímetro autorizado y detectar cuando el paseo sale de él.</t>
  </si>
  <si>
    <t>Plataforma</t>
  </si>
  <si>
    <t>Si el recorrido sale del perímetro, se genera una alerta al dueño y a la plataforma.</t>
  </si>
  <si>
    <t>RF-010</t>
  </si>
  <si>
    <t>Detección de anomalías de recorrido</t>
  </si>
  <si>
    <t>El sistema debe detectar comportamientos anómalos (ej. detención prolongada) durante el paseo.</t>
  </si>
  <si>
    <t>Ante una detención mayor al umbral definido, el sistema notifica automáticamente al dueño.</t>
  </si>
  <si>
    <t>RF-011</t>
  </si>
  <si>
    <t>Monitoreo de actividad del paseo</t>
  </si>
  <si>
    <t>El sistema debe registrar métricas del paseo (duración, distancia) para el monitoreo activo.</t>
  </si>
  <si>
    <t>Al finalizar, el dueño consulta un resumen del paseo con distancia y duración.</t>
  </si>
  <si>
    <t>RF-012</t>
  </si>
  <si>
    <t>Alertas de emergencia</t>
  </si>
  <si>
    <t>El sistema debe permitir emitir alertas de emergencia y notificarlas de inmediato a los involucrados.</t>
  </si>
  <si>
    <t>Al activar el botón de emergencia se envía una notificación push prioritaria.</t>
  </si>
  <si>
    <t>RF-013</t>
  </si>
  <si>
    <t>Comunicación</t>
  </si>
  <si>
    <t>Chat interno</t>
  </si>
  <si>
    <t>El sistema debe ofrecer un chat interno entre el dueño y el paseador.</t>
  </si>
  <si>
    <t>Ambas partes intercambian mensajes dentro de la app durante el servicio.</t>
  </si>
  <si>
    <t>RF-014</t>
  </si>
  <si>
    <t>Notificaciones de recorrido</t>
  </si>
  <si>
    <t>El sistema debe notificar los eventos clave del servicio (inicio, fin y avisos de recorrido).</t>
  </si>
  <si>
    <t>El usuario recibe notificaciones al iniciar y finalizar el paseo y ante avisos relevantes.</t>
  </si>
  <si>
    <t>RF-015</t>
  </si>
  <si>
    <t>Pagos</t>
  </si>
  <si>
    <t>Pasarela de pago integrada</t>
  </si>
  <si>
    <t>El sistema debe procesar los pagos 100% digital dentro de la app, sin manejo de efectivo.</t>
  </si>
  <si>
    <t>El dueño paga el servicio dentro de la app antes de iniciarlo; no se acepta efectivo.</t>
  </si>
  <si>
    <t>Stripe / MercadoPago</t>
  </si>
  <si>
    <t>RF-016</t>
  </si>
  <si>
    <t>Pago en garantía (escrow)</t>
  </si>
  <si>
    <t>El sistema debe retener el pago en garantía hasta la finalización exitosa del servicio.</t>
  </si>
  <si>
    <t>El monto se retiene al confirmar la solicitud y no se libera hasta finalizar el paseo.</t>
  </si>
  <si>
    <t>RF-017</t>
  </si>
  <si>
    <t>Split payments y dispersión automática</t>
  </si>
  <si>
    <t>El sistema debe dispersar automáticamente la ganancia al paseador al finalizar el servicio con éxito.</t>
  </si>
  <si>
    <t>Plataforma / Paseador</t>
  </si>
  <si>
    <t>Al completar el paseo se transfiere de forma automática la parte correspondiente al paseador.</t>
  </si>
  <si>
    <t>Stripe / MercadoPago (split payments)</t>
  </si>
  <si>
    <t>RF-018</t>
  </si>
  <si>
    <t>Retención de comisión</t>
  </si>
  <si>
    <t>El sistema debe descontar la comisión de la plataforma en cada transacción.</t>
  </si>
  <si>
    <t>En cada paseo completado, la comisión configurada se retiene antes de dispersar al paseador.</t>
  </si>
  <si>
    <t>RF-019</t>
  </si>
  <si>
    <t>Cálculo de tarifa</t>
  </si>
  <si>
    <t>El sistema debe calcular la tarifa según el tiempo y el tipo de paseo seleccionado.</t>
  </si>
  <si>
    <t>El dueño visualiza el precio calculado antes de confirmar, según duración/tipo.</t>
  </si>
  <si>
    <t>RF-021</t>
  </si>
  <si>
    <t>Operación, Reportes y Métricas</t>
  </si>
  <si>
    <t>Tablero de métricas (KPIs)</t>
  </si>
  <si>
    <t>El sistema debe registrar y visualizar los KPIs del negocio (retención, conversión, DAU/MAU, LTV/CAC).</t>
  </si>
  <si>
    <t>El equipo consulta un tablero con las métricas clave actualizadas del producto.</t>
  </si>
  <si>
    <t>Requerimientos No Funcionales</t>
  </si>
  <si>
    <t>Categoría</t>
  </si>
  <si>
    <t>RNF-001</t>
  </si>
  <si>
    <t>Seguridad</t>
  </si>
  <si>
    <t>Encriptación de contraseñas</t>
  </si>
  <si>
    <t>Las contraseñas deben almacenarse cifradas con bcrypt.</t>
  </si>
  <si>
    <t>RNF-002</t>
  </si>
  <si>
    <t>Autenticación con JWT</t>
  </si>
  <si>
    <t>La sesión y la autorización deben gestionarse mediante tokens JWT.</t>
  </si>
  <si>
    <t>RNF-003</t>
  </si>
  <si>
    <t>Cifrado de datos sensibles</t>
  </si>
  <si>
    <t>Los datos sensibles (documentos, antecedentes, historial médico y financieros) deben almacenarse cifrados.</t>
  </si>
  <si>
    <t>RNF-004</t>
  </si>
  <si>
    <t>Seguridad / Cumplimiento</t>
  </si>
  <si>
    <t>No almacenamiento de tarjetas</t>
  </si>
  <si>
    <t>La plataforma no debe almacenar datos de tarjetas de crédito en sus servidores; se delega a la pasarela.</t>
  </si>
  <si>
    <t>RNF-005</t>
  </si>
  <si>
    <t>Cumplimiento</t>
  </si>
  <si>
    <t>Protección de datos personales</t>
  </si>
  <si>
    <t>El tratamiento de datos debe cumplir con GDPR y la normativa local aplicable.</t>
  </si>
  <si>
    <t>RNF-006</t>
  </si>
  <si>
    <t>Rendimiento / Escalabilidad</t>
  </si>
  <si>
    <t>Capacidad del lanzamiento (piloto)</t>
  </si>
  <si>
    <t>La infraestructura debe soportar de forma estable 500 usuarios activos y 50 paseadores durante el primer mes.</t>
  </si>
  <si>
    <t>RNF-007</t>
  </si>
  <si>
    <t>Rendimiento</t>
  </si>
  <si>
    <t>Soporte de picos concurrentes</t>
  </si>
  <si>
    <t>El sistema debe soportar picos de llamadas concurrentes y rastreo GPS sin caídas.</t>
  </si>
  <si>
    <t>RNF-008</t>
  </si>
  <si>
    <t>Disponibilidad</t>
  </si>
  <si>
    <t>Alta disponibilidad de módulos críticos</t>
  </si>
  <si>
    <t>Los módulos críticos (GPS, pagos y notificaciones) deben mantener alta disponibilidad y tolerancia a fallos.</t>
  </si>
  <si>
    <t>RNF-009</t>
  </si>
  <si>
    <t>Arquitectura</t>
  </si>
  <si>
    <t>Monolito modular escalable</t>
  </si>
  <si>
    <t>Arquitectura de monolito modular en la etapa inicial, con capacidad de migrar a microservicios al escalar.</t>
  </si>
  <si>
    <t>RNF-010</t>
  </si>
  <si>
    <t>Portabilidad</t>
  </si>
  <si>
    <t>App móvil multiplataforma</t>
  </si>
  <si>
    <t>La aplicación debe funcionar en iOS y Android (React Native o Flutter).</t>
  </si>
  <si>
    <t>RNF-011</t>
  </si>
  <si>
    <t>Mantenibilidad</t>
  </si>
  <si>
    <t>Metodología ágil</t>
  </si>
  <si>
    <t>El desarrollo debe seguir Scrum/Kanban con sprints de dos semanas, gestionados en Jira o Linear.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</si>
</sst>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20"/>
      <color rgb="FF1F4E79"/>
      <name val="Arial"/>
      <charset val="1"/>
    </font>
    <font>
      <sz val="12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1F4E79"/>
      <name val="Arial"/>
      <charset val="1"/>
    </font>
    <font>
      <b/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16"/>
      <color rgb="FFFFFFFF"/>
      <name val="Arial"/>
      <charset val="1"/>
    </font>
    <font>
      <sz val="9"/>
      <color rgb="FF595959"/>
      <name val="Arial"/>
      <charset val="1"/>
    </font>
    <font>
      <b/>
      <sz val="9"/>
      <color rgb="FF1F4E79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4B7A6"/>
        <bgColor rgb="FFFF99CC"/>
      </patternFill>
    </fill>
    <fill>
      <patternFill patternType="solid">
        <fgColor rgb="FFFFE59A"/>
        <bgColor rgb="FFE7E6E6"/>
      </patternFill>
    </fill>
    <fill>
      <patternFill patternType="solid">
        <fgColor rgb="FFC6E0B4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/>
    <xf numFmtId="0" fontId="6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0" fillId="11" borderId="2" xfId="0" applyFill="1" applyBorder="1"/>
    <xf numFmtId="0" fontId="8" fillId="8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9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0B4"/>
      <rgbColor rgb="FFFFE59A"/>
      <rgbColor rgb="FF99CCFF"/>
      <rgbColor rgb="FFFF99CC"/>
      <rgbColor rgb="FFCC99FF"/>
      <rgbColor rgb="FFF4B7A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6"/>
  <sheetViews>
    <sheetView showGridLines="0" tabSelected="1" zoomScaleNormal="100" workbookViewId="0">
      <selection activeCell="H7" sqref="H7"/>
    </sheetView>
  </sheetViews>
  <sheetFormatPr defaultColWidth="8.7109375" defaultRowHeight="14.45"/>
  <cols>
    <col min="1" max="1" width="3" customWidth="1"/>
    <col min="2" max="2" width="34" customWidth="1"/>
    <col min="3" max="6" width="16" customWidth="1"/>
  </cols>
  <sheetData>
    <row r="2" spans="2:6" ht="24.6">
      <c r="B2" s="26" t="s">
        <v>0</v>
      </c>
      <c r="C2" s="26"/>
      <c r="D2" s="26"/>
      <c r="E2" s="26"/>
      <c r="F2" s="26"/>
    </row>
    <row r="3" spans="2:6" ht="15">
      <c r="B3" s="27" t="s">
        <v>1</v>
      </c>
      <c r="C3" s="27"/>
      <c r="D3" s="27"/>
      <c r="E3" s="27"/>
      <c r="F3" s="27"/>
    </row>
    <row r="6" spans="2:6" ht="15" customHeight="1">
      <c r="B6" s="19" t="s">
        <v>2</v>
      </c>
      <c r="C6" s="25" t="s">
        <v>3</v>
      </c>
      <c r="D6" s="25"/>
      <c r="E6" s="25"/>
      <c r="F6" s="25"/>
    </row>
    <row r="7" spans="2:6" ht="15" customHeight="1">
      <c r="B7" s="19" t="s">
        <v>4</v>
      </c>
      <c r="C7" s="25" t="s">
        <v>5</v>
      </c>
      <c r="D7" s="25"/>
      <c r="E7" s="25"/>
      <c r="F7" s="25"/>
    </row>
    <row r="8" spans="2:6" ht="15" customHeight="1">
      <c r="B8" s="19" t="s">
        <v>6</v>
      </c>
      <c r="C8" s="25" t="s">
        <v>7</v>
      </c>
      <c r="D8" s="25"/>
      <c r="E8" s="25"/>
      <c r="F8" s="25"/>
    </row>
    <row r="9" spans="2:6" ht="15" customHeight="1">
      <c r="B9" s="19" t="s">
        <v>8</v>
      </c>
      <c r="C9" s="24" t="s">
        <v>9</v>
      </c>
      <c r="D9" s="25"/>
      <c r="E9" s="25"/>
      <c r="F9" s="25"/>
    </row>
    <row r="10" spans="2:6" ht="15" customHeight="1">
      <c r="B10" s="19" t="s">
        <v>10</v>
      </c>
      <c r="C10" s="25" t="s">
        <v>11</v>
      </c>
      <c r="D10" s="25"/>
      <c r="E10" s="25"/>
      <c r="F10" s="25"/>
    </row>
    <row r="11" spans="2:6" ht="15" customHeight="1">
      <c r="B11" s="19" t="s">
        <v>12</v>
      </c>
      <c r="C11" s="25" t="s">
        <v>13</v>
      </c>
      <c r="D11" s="25"/>
      <c r="E11" s="25"/>
      <c r="F11" s="25"/>
    </row>
    <row r="14" spans="2:6" ht="15.6">
      <c r="B14" s="1" t="s">
        <v>14</v>
      </c>
    </row>
    <row r="15" spans="2:6">
      <c r="B15" s="2" t="s">
        <v>15</v>
      </c>
      <c r="C15" s="3" t="s">
        <v>16</v>
      </c>
      <c r="D15" s="4" t="s">
        <v>17</v>
      </c>
      <c r="E15" s="5" t="s">
        <v>18</v>
      </c>
    </row>
    <row r="16" spans="2:6">
      <c r="B16" s="2" t="s">
        <v>19</v>
      </c>
      <c r="C16" s="6" t="s">
        <v>20</v>
      </c>
      <c r="D16" s="7" t="s">
        <v>21</v>
      </c>
    </row>
    <row r="19" spans="2:6" ht="15.6">
      <c r="B19" s="1" t="s">
        <v>22</v>
      </c>
    </row>
    <row r="20" spans="2:6" ht="15" customHeight="1">
      <c r="B20" s="23" t="s">
        <v>23</v>
      </c>
      <c r="C20" s="23"/>
      <c r="D20" s="23"/>
      <c r="E20" s="23"/>
      <c r="F20" s="8">
        <f>COUNTA('Requerimientos Funcionales'!$A$5:$A$24)</f>
        <v>20</v>
      </c>
    </row>
    <row r="21" spans="2:6" ht="15" customHeight="1">
      <c r="B21" s="22" t="s">
        <v>24</v>
      </c>
      <c r="C21" s="22"/>
      <c r="D21" s="22"/>
      <c r="E21" s="22"/>
      <c r="F21" s="8">
        <f>COUNTIF('Requerimientos Funcionales'!$F$5:$F$24,"Alta")</f>
        <v>16</v>
      </c>
    </row>
    <row r="22" spans="2:6" ht="15" customHeight="1">
      <c r="B22" s="22" t="s">
        <v>25</v>
      </c>
      <c r="C22" s="22"/>
      <c r="D22" s="22"/>
      <c r="E22" s="22"/>
      <c r="F22" s="8">
        <f>COUNTIF('Requerimientos Funcionales'!$F$5:$F$24,"Media")</f>
        <v>4</v>
      </c>
    </row>
    <row r="23" spans="2:6" ht="15" customHeight="1">
      <c r="B23" s="22" t="s">
        <v>26</v>
      </c>
      <c r="C23" s="22"/>
      <c r="D23" s="22"/>
      <c r="E23" s="22"/>
      <c r="F23" s="8">
        <f>COUNTIF('Requerimientos Funcionales'!$F$5:$F$24,"Baja")</f>
        <v>0</v>
      </c>
    </row>
    <row r="24" spans="2:6" ht="15" customHeight="1">
      <c r="B24" s="22" t="s">
        <v>27</v>
      </c>
      <c r="C24" s="22"/>
      <c r="D24" s="22"/>
      <c r="E24" s="22"/>
      <c r="F24" s="8">
        <f>COUNTIF('Requerimientos Funcionales'!$G$5:$G$24,"MVP")</f>
        <v>20</v>
      </c>
    </row>
    <row r="25" spans="2:6" ht="15" customHeight="1">
      <c r="B25" s="22" t="s">
        <v>28</v>
      </c>
      <c r="C25" s="22"/>
      <c r="D25" s="22"/>
      <c r="E25" s="22"/>
      <c r="F25" s="8">
        <f>COUNTIF('Requerimientos Funcionales'!$G$5:$G$24,"Fase 2")</f>
        <v>0</v>
      </c>
    </row>
    <row r="26" spans="2:6" ht="15" customHeight="1">
      <c r="B26" s="23" t="s">
        <v>29</v>
      </c>
      <c r="C26" s="23"/>
      <c r="D26" s="23"/>
      <c r="E26" s="23"/>
      <c r="F26" s="8">
        <f>COUNTA('Requerimientos No Funcionales'!$A$5:$A$15)</f>
        <v>11</v>
      </c>
    </row>
  </sheetData>
  <mergeCells count="15">
    <mergeCell ref="B2:F2"/>
    <mergeCell ref="B3:F3"/>
    <mergeCell ref="C6:F6"/>
    <mergeCell ref="C7:F7"/>
    <mergeCell ref="C8:F8"/>
    <mergeCell ref="C9:F9"/>
    <mergeCell ref="C10:F10"/>
    <mergeCell ref="C11:F11"/>
    <mergeCell ref="B20:E20"/>
    <mergeCell ref="B21:E21"/>
    <mergeCell ref="B22:E22"/>
    <mergeCell ref="B23:E23"/>
    <mergeCell ref="B24:E24"/>
    <mergeCell ref="B25:E25"/>
    <mergeCell ref="B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showGridLines="0" zoomScaleNormal="100" workbookViewId="0">
      <pane ySplit="4" topLeftCell="A19" activePane="bottomLeft" state="frozen"/>
      <selection pane="bottomLeft" activeCell="C26" sqref="C26"/>
    </sheetView>
  </sheetViews>
  <sheetFormatPr defaultColWidth="8.7109375" defaultRowHeight="14.45"/>
  <cols>
    <col min="1" max="1" width="9" customWidth="1"/>
    <col min="2" max="3" width="24" customWidth="1"/>
    <col min="4" max="4" width="46" customWidth="1"/>
    <col min="5" max="5" width="16" customWidth="1"/>
    <col min="6" max="6" width="11" customWidth="1"/>
    <col min="7" max="7" width="9" customWidth="1"/>
    <col min="8" max="8" width="46" customWidth="1"/>
    <col min="9" max="9" width="24" customWidth="1"/>
  </cols>
  <sheetData>
    <row r="1" spans="1:9" ht="30" customHeight="1">
      <c r="A1" s="20" t="s">
        <v>30</v>
      </c>
      <c r="B1" s="20"/>
      <c r="C1" s="20"/>
      <c r="D1" s="20"/>
      <c r="E1" s="20"/>
      <c r="F1" s="20"/>
      <c r="G1" s="20"/>
      <c r="H1" s="20"/>
      <c r="I1" s="20"/>
    </row>
    <row r="2" spans="1:9">
      <c r="A2" s="21" t="s">
        <v>31</v>
      </c>
      <c r="B2" s="21"/>
      <c r="C2" s="21"/>
      <c r="D2" s="21"/>
      <c r="E2" s="21"/>
      <c r="F2" s="21"/>
      <c r="G2" s="21"/>
      <c r="H2" s="21"/>
      <c r="I2" s="21"/>
    </row>
    <row r="4" spans="1:9" ht="25.5" customHeight="1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15</v>
      </c>
      <c r="G4" s="9" t="s">
        <v>19</v>
      </c>
      <c r="H4" s="9" t="s">
        <v>37</v>
      </c>
      <c r="I4" s="9" t="s">
        <v>38</v>
      </c>
    </row>
    <row r="5" spans="1:9" ht="45.75" customHeight="1">
      <c r="A5" s="10" t="s">
        <v>39</v>
      </c>
      <c r="B5" s="11" t="s">
        <v>40</v>
      </c>
      <c r="C5" s="11" t="s">
        <v>41</v>
      </c>
      <c r="D5" s="11" t="s">
        <v>42</v>
      </c>
      <c r="E5" s="12" t="s">
        <v>43</v>
      </c>
      <c r="F5" s="13" t="s">
        <v>16</v>
      </c>
      <c r="G5" s="14" t="s">
        <v>20</v>
      </c>
      <c r="H5" s="11" t="s">
        <v>44</v>
      </c>
      <c r="I5" s="11" t="s">
        <v>45</v>
      </c>
    </row>
    <row r="6" spans="1:9" ht="45.75" customHeight="1">
      <c r="A6" s="15" t="s">
        <v>46</v>
      </c>
      <c r="B6" s="16" t="s">
        <v>40</v>
      </c>
      <c r="C6" s="16" t="s">
        <v>47</v>
      </c>
      <c r="D6" s="16" t="s">
        <v>48</v>
      </c>
      <c r="E6" s="17" t="s">
        <v>49</v>
      </c>
      <c r="F6" s="13" t="s">
        <v>16</v>
      </c>
      <c r="G6" s="14" t="s">
        <v>20</v>
      </c>
      <c r="H6" s="16" t="s">
        <v>50</v>
      </c>
      <c r="I6" s="16" t="s">
        <v>51</v>
      </c>
    </row>
    <row r="7" spans="1:9" ht="45.75" customHeight="1">
      <c r="A7" s="10" t="s">
        <v>52</v>
      </c>
      <c r="B7" s="11" t="s">
        <v>40</v>
      </c>
      <c r="C7" s="11" t="s">
        <v>53</v>
      </c>
      <c r="D7" s="11" t="s">
        <v>54</v>
      </c>
      <c r="E7" s="12" t="s">
        <v>55</v>
      </c>
      <c r="F7" s="13" t="s">
        <v>16</v>
      </c>
      <c r="G7" s="14" t="s">
        <v>20</v>
      </c>
      <c r="H7" s="11" t="s">
        <v>56</v>
      </c>
      <c r="I7" s="11" t="s">
        <v>57</v>
      </c>
    </row>
    <row r="8" spans="1:9" ht="45.75" customHeight="1">
      <c r="A8" s="15" t="s">
        <v>58</v>
      </c>
      <c r="B8" s="16" t="s">
        <v>40</v>
      </c>
      <c r="C8" s="16" t="s">
        <v>59</v>
      </c>
      <c r="D8" s="16" t="s">
        <v>60</v>
      </c>
      <c r="E8" s="17" t="s">
        <v>43</v>
      </c>
      <c r="F8" s="18" t="s">
        <v>17</v>
      </c>
      <c r="G8" s="14" t="s">
        <v>20</v>
      </c>
      <c r="H8" s="16" t="s">
        <v>61</v>
      </c>
      <c r="I8" s="16" t="s">
        <v>45</v>
      </c>
    </row>
    <row r="9" spans="1:9" ht="45.75" customHeight="1">
      <c r="A9" s="10" t="s">
        <v>62</v>
      </c>
      <c r="B9" s="11" t="s">
        <v>40</v>
      </c>
      <c r="C9" s="11" t="s">
        <v>63</v>
      </c>
      <c r="D9" s="11" t="s">
        <v>64</v>
      </c>
      <c r="E9" s="12" t="s">
        <v>65</v>
      </c>
      <c r="F9" s="13" t="s">
        <v>16</v>
      </c>
      <c r="G9" s="14" t="s">
        <v>20</v>
      </c>
      <c r="H9" s="11" t="s">
        <v>66</v>
      </c>
      <c r="I9" s="11" t="s">
        <v>45</v>
      </c>
    </row>
    <row r="10" spans="1:9" ht="45.75" customHeight="1">
      <c r="A10" s="15" t="s">
        <v>67</v>
      </c>
      <c r="B10" s="16" t="s">
        <v>68</v>
      </c>
      <c r="C10" s="16" t="s">
        <v>69</v>
      </c>
      <c r="D10" s="16" t="s">
        <v>70</v>
      </c>
      <c r="E10" s="17" t="s">
        <v>43</v>
      </c>
      <c r="F10" s="13" t="s">
        <v>16</v>
      </c>
      <c r="G10" s="14" t="s">
        <v>20</v>
      </c>
      <c r="H10" s="16" t="s">
        <v>71</v>
      </c>
      <c r="I10" s="16" t="s">
        <v>72</v>
      </c>
    </row>
    <row r="11" spans="1:9" ht="45.75" customHeight="1">
      <c r="A11" s="10" t="s">
        <v>73</v>
      </c>
      <c r="B11" s="11" t="s">
        <v>68</v>
      </c>
      <c r="C11" s="11" t="s">
        <v>74</v>
      </c>
      <c r="D11" s="11" t="s">
        <v>75</v>
      </c>
      <c r="E11" s="12" t="s">
        <v>43</v>
      </c>
      <c r="F11" s="13" t="s">
        <v>16</v>
      </c>
      <c r="G11" s="14" t="s">
        <v>20</v>
      </c>
      <c r="H11" s="11" t="s">
        <v>76</v>
      </c>
      <c r="I11" s="11" t="s">
        <v>77</v>
      </c>
    </row>
    <row r="12" spans="1:9" ht="45.75" customHeight="1">
      <c r="A12" s="15" t="s">
        <v>78</v>
      </c>
      <c r="B12" s="16" t="s">
        <v>79</v>
      </c>
      <c r="C12" s="16" t="s">
        <v>80</v>
      </c>
      <c r="D12" s="16" t="s">
        <v>81</v>
      </c>
      <c r="E12" s="17" t="s">
        <v>65</v>
      </c>
      <c r="F12" s="13" t="s">
        <v>16</v>
      </c>
      <c r="G12" s="14" t="s">
        <v>20</v>
      </c>
      <c r="H12" s="16" t="s">
        <v>82</v>
      </c>
      <c r="I12" s="16" t="s">
        <v>72</v>
      </c>
    </row>
    <row r="13" spans="1:9" ht="45.75" customHeight="1">
      <c r="A13" s="10" t="s">
        <v>83</v>
      </c>
      <c r="B13" s="11" t="s">
        <v>79</v>
      </c>
      <c r="C13" s="11" t="s">
        <v>84</v>
      </c>
      <c r="D13" s="11" t="s">
        <v>85</v>
      </c>
      <c r="E13" s="12" t="s">
        <v>86</v>
      </c>
      <c r="F13" s="13" t="s">
        <v>16</v>
      </c>
      <c r="G13" s="14" t="s">
        <v>20</v>
      </c>
      <c r="H13" s="11" t="s">
        <v>87</v>
      </c>
      <c r="I13" s="11" t="s">
        <v>72</v>
      </c>
    </row>
    <row r="14" spans="1:9" ht="45.75" customHeight="1">
      <c r="A14" s="15" t="s">
        <v>88</v>
      </c>
      <c r="B14" s="16" t="s">
        <v>79</v>
      </c>
      <c r="C14" s="16" t="s">
        <v>89</v>
      </c>
      <c r="D14" s="16" t="s">
        <v>90</v>
      </c>
      <c r="E14" s="17" t="s">
        <v>86</v>
      </c>
      <c r="F14" s="13" t="s">
        <v>16</v>
      </c>
      <c r="G14" s="14" t="s">
        <v>20</v>
      </c>
      <c r="H14" s="16" t="s">
        <v>91</v>
      </c>
      <c r="I14" s="16" t="s">
        <v>45</v>
      </c>
    </row>
    <row r="15" spans="1:9" ht="45.75" customHeight="1">
      <c r="A15" s="10" t="s">
        <v>92</v>
      </c>
      <c r="B15" s="11" t="s">
        <v>79</v>
      </c>
      <c r="C15" s="11" t="s">
        <v>93</v>
      </c>
      <c r="D15" s="11" t="s">
        <v>94</v>
      </c>
      <c r="E15" s="12" t="s">
        <v>43</v>
      </c>
      <c r="F15" s="18" t="s">
        <v>17</v>
      </c>
      <c r="G15" s="14" t="s">
        <v>20</v>
      </c>
      <c r="H15" s="11" t="s">
        <v>95</v>
      </c>
      <c r="I15" s="11" t="s">
        <v>72</v>
      </c>
    </row>
    <row r="16" spans="1:9" ht="45.75" customHeight="1">
      <c r="A16" s="15" t="s">
        <v>96</v>
      </c>
      <c r="B16" s="16" t="s">
        <v>79</v>
      </c>
      <c r="C16" s="16" t="s">
        <v>97</v>
      </c>
      <c r="D16" s="16" t="s">
        <v>98</v>
      </c>
      <c r="E16" s="17" t="s">
        <v>65</v>
      </c>
      <c r="F16" s="13" t="s">
        <v>16</v>
      </c>
      <c r="G16" s="14" t="s">
        <v>20</v>
      </c>
      <c r="H16" s="16" t="s">
        <v>99</v>
      </c>
      <c r="I16" s="16" t="s">
        <v>77</v>
      </c>
    </row>
    <row r="17" spans="1:9" ht="45.75" customHeight="1">
      <c r="A17" s="10" t="s">
        <v>100</v>
      </c>
      <c r="B17" s="11" t="s">
        <v>101</v>
      </c>
      <c r="C17" s="11" t="s">
        <v>102</v>
      </c>
      <c r="D17" s="11" t="s">
        <v>103</v>
      </c>
      <c r="E17" s="12" t="s">
        <v>65</v>
      </c>
      <c r="F17" s="18" t="s">
        <v>17</v>
      </c>
      <c r="G17" s="14" t="s">
        <v>20</v>
      </c>
      <c r="H17" s="11" t="s">
        <v>104</v>
      </c>
      <c r="I17" s="11" t="s">
        <v>45</v>
      </c>
    </row>
    <row r="18" spans="1:9" ht="45.75" customHeight="1">
      <c r="A18" s="15" t="s">
        <v>105</v>
      </c>
      <c r="B18" s="16" t="s">
        <v>101</v>
      </c>
      <c r="C18" s="16" t="s">
        <v>106</v>
      </c>
      <c r="D18" s="16" t="s">
        <v>107</v>
      </c>
      <c r="E18" s="17" t="s">
        <v>65</v>
      </c>
      <c r="F18" s="13" t="s">
        <v>16</v>
      </c>
      <c r="G18" s="14" t="s">
        <v>20</v>
      </c>
      <c r="H18" s="16" t="s">
        <v>108</v>
      </c>
      <c r="I18" s="16" t="s">
        <v>77</v>
      </c>
    </row>
    <row r="19" spans="1:9" ht="45.75" customHeight="1">
      <c r="A19" s="10" t="s">
        <v>109</v>
      </c>
      <c r="B19" s="11" t="s">
        <v>110</v>
      </c>
      <c r="C19" s="11" t="s">
        <v>111</v>
      </c>
      <c r="D19" s="11" t="s">
        <v>112</v>
      </c>
      <c r="E19" s="12" t="s">
        <v>43</v>
      </c>
      <c r="F19" s="13" t="s">
        <v>16</v>
      </c>
      <c r="G19" s="14" t="s">
        <v>20</v>
      </c>
      <c r="H19" s="11" t="s">
        <v>113</v>
      </c>
      <c r="I19" s="11" t="s">
        <v>114</v>
      </c>
    </row>
    <row r="20" spans="1:9" ht="45.75" customHeight="1">
      <c r="A20" s="15" t="s">
        <v>115</v>
      </c>
      <c r="B20" s="16" t="s">
        <v>110</v>
      </c>
      <c r="C20" s="16" t="s">
        <v>116</v>
      </c>
      <c r="D20" s="16" t="s">
        <v>117</v>
      </c>
      <c r="E20" s="17" t="s">
        <v>86</v>
      </c>
      <c r="F20" s="13" t="s">
        <v>16</v>
      </c>
      <c r="G20" s="14" t="s">
        <v>20</v>
      </c>
      <c r="H20" s="16" t="s">
        <v>118</v>
      </c>
      <c r="I20" s="16" t="s">
        <v>114</v>
      </c>
    </row>
    <row r="21" spans="1:9" ht="45.75" customHeight="1">
      <c r="A21" s="10" t="s">
        <v>119</v>
      </c>
      <c r="B21" s="11" t="s">
        <v>110</v>
      </c>
      <c r="C21" s="11" t="s">
        <v>120</v>
      </c>
      <c r="D21" s="11" t="s">
        <v>121</v>
      </c>
      <c r="E21" s="12" t="s">
        <v>122</v>
      </c>
      <c r="F21" s="13" t="s">
        <v>16</v>
      </c>
      <c r="G21" s="14" t="s">
        <v>20</v>
      </c>
      <c r="H21" s="11" t="s">
        <v>123</v>
      </c>
      <c r="I21" s="11" t="s">
        <v>124</v>
      </c>
    </row>
    <row r="22" spans="1:9" ht="45.75" customHeight="1">
      <c r="A22" s="15" t="s">
        <v>125</v>
      </c>
      <c r="B22" s="16" t="s">
        <v>110</v>
      </c>
      <c r="C22" s="16" t="s">
        <v>126</v>
      </c>
      <c r="D22" s="16" t="s">
        <v>127</v>
      </c>
      <c r="E22" s="17" t="s">
        <v>86</v>
      </c>
      <c r="F22" s="13" t="s">
        <v>16</v>
      </c>
      <c r="G22" s="14" t="s">
        <v>20</v>
      </c>
      <c r="H22" s="16" t="s">
        <v>128</v>
      </c>
      <c r="I22" s="16" t="s">
        <v>114</v>
      </c>
    </row>
    <row r="23" spans="1:9" ht="45.75" customHeight="1">
      <c r="A23" s="10" t="s">
        <v>129</v>
      </c>
      <c r="B23" s="11" t="s">
        <v>110</v>
      </c>
      <c r="C23" s="11" t="s">
        <v>130</v>
      </c>
      <c r="D23" s="11" t="s">
        <v>131</v>
      </c>
      <c r="E23" s="12" t="s">
        <v>43</v>
      </c>
      <c r="F23" s="13" t="s">
        <v>16</v>
      </c>
      <c r="G23" s="14" t="s">
        <v>20</v>
      </c>
      <c r="H23" s="11" t="s">
        <v>132</v>
      </c>
      <c r="I23" s="11" t="s">
        <v>45</v>
      </c>
    </row>
    <row r="24" spans="1:9" ht="45.75" customHeight="1">
      <c r="A24" s="10" t="s">
        <v>133</v>
      </c>
      <c r="B24" s="11" t="s">
        <v>134</v>
      </c>
      <c r="C24" s="11" t="s">
        <v>135</v>
      </c>
      <c r="D24" s="11" t="s">
        <v>136</v>
      </c>
      <c r="E24" s="12" t="s">
        <v>86</v>
      </c>
      <c r="F24" s="18" t="s">
        <v>17</v>
      </c>
      <c r="G24" s="14" t="s">
        <v>20</v>
      </c>
      <c r="H24" s="11" t="s">
        <v>137</v>
      </c>
      <c r="I24" s="11" t="s">
        <v>45</v>
      </c>
    </row>
  </sheetData>
  <autoFilter ref="A4:I24" xr:uid="{00000000-0009-0000-0000-000001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zoomScaleNormal="100" workbookViewId="0">
      <pane ySplit="4" topLeftCell="A11" activePane="bottomLeft" state="frozen"/>
      <selection pane="bottomLeft" activeCell="A16" sqref="A16:E16"/>
    </sheetView>
  </sheetViews>
  <sheetFormatPr defaultColWidth="8.7109375" defaultRowHeight="14.45"/>
  <cols>
    <col min="1" max="1" width="11" customWidth="1"/>
    <col min="2" max="2" width="26" customWidth="1"/>
    <col min="3" max="3" width="30" customWidth="1"/>
    <col min="4" max="4" width="62" customWidth="1"/>
    <col min="5" max="5" width="12" customWidth="1"/>
  </cols>
  <sheetData>
    <row r="1" spans="1:5" ht="30" customHeight="1">
      <c r="A1" s="20" t="s">
        <v>138</v>
      </c>
      <c r="B1" s="20"/>
      <c r="C1" s="20"/>
      <c r="D1" s="20"/>
      <c r="E1" s="20"/>
    </row>
    <row r="2" spans="1:5">
      <c r="A2" s="21" t="s">
        <v>31</v>
      </c>
      <c r="B2" s="21"/>
      <c r="C2" s="21"/>
      <c r="D2" s="21"/>
      <c r="E2" s="21"/>
    </row>
    <row r="4" spans="1:5" ht="25.5" customHeight="1">
      <c r="A4" s="9" t="s">
        <v>32</v>
      </c>
      <c r="B4" s="9" t="s">
        <v>139</v>
      </c>
      <c r="C4" s="9" t="s">
        <v>34</v>
      </c>
      <c r="D4" s="9" t="s">
        <v>35</v>
      </c>
      <c r="E4" s="9" t="s">
        <v>15</v>
      </c>
    </row>
    <row r="5" spans="1:5" ht="45.75" customHeight="1">
      <c r="A5" s="10" t="s">
        <v>140</v>
      </c>
      <c r="B5" s="11" t="s">
        <v>141</v>
      </c>
      <c r="C5" s="11" t="s">
        <v>142</v>
      </c>
      <c r="D5" s="11" t="s">
        <v>143</v>
      </c>
      <c r="E5" s="13" t="s">
        <v>16</v>
      </c>
    </row>
    <row r="6" spans="1:5" ht="45.75" customHeight="1">
      <c r="A6" s="15" t="s">
        <v>144</v>
      </c>
      <c r="B6" s="16" t="s">
        <v>141</v>
      </c>
      <c r="C6" s="16" t="s">
        <v>145</v>
      </c>
      <c r="D6" s="16" t="s">
        <v>146</v>
      </c>
      <c r="E6" s="13" t="s">
        <v>16</v>
      </c>
    </row>
    <row r="7" spans="1:5" ht="45.75" customHeight="1">
      <c r="A7" s="10" t="s">
        <v>147</v>
      </c>
      <c r="B7" s="11" t="s">
        <v>141</v>
      </c>
      <c r="C7" s="11" t="s">
        <v>148</v>
      </c>
      <c r="D7" s="11" t="s">
        <v>149</v>
      </c>
      <c r="E7" s="13" t="s">
        <v>16</v>
      </c>
    </row>
    <row r="8" spans="1:5" ht="45.75" customHeight="1">
      <c r="A8" s="15" t="s">
        <v>150</v>
      </c>
      <c r="B8" s="16" t="s">
        <v>151</v>
      </c>
      <c r="C8" s="16" t="s">
        <v>152</v>
      </c>
      <c r="D8" s="16" t="s">
        <v>153</v>
      </c>
      <c r="E8" s="13" t="s">
        <v>16</v>
      </c>
    </row>
    <row r="9" spans="1:5" ht="45.75" customHeight="1">
      <c r="A9" s="10" t="s">
        <v>154</v>
      </c>
      <c r="B9" s="11" t="s">
        <v>155</v>
      </c>
      <c r="C9" s="11" t="s">
        <v>156</v>
      </c>
      <c r="D9" s="11" t="s">
        <v>157</v>
      </c>
      <c r="E9" s="13" t="s">
        <v>16</v>
      </c>
    </row>
    <row r="10" spans="1:5" ht="45.75" customHeight="1">
      <c r="A10" s="15" t="s">
        <v>158</v>
      </c>
      <c r="B10" s="16" t="s">
        <v>159</v>
      </c>
      <c r="C10" s="16" t="s">
        <v>160</v>
      </c>
      <c r="D10" s="16" t="s">
        <v>161</v>
      </c>
      <c r="E10" s="13" t="s">
        <v>16</v>
      </c>
    </row>
    <row r="11" spans="1:5" ht="45.75" customHeight="1">
      <c r="A11" s="10" t="s">
        <v>162</v>
      </c>
      <c r="B11" s="11" t="s">
        <v>163</v>
      </c>
      <c r="C11" s="11" t="s">
        <v>164</v>
      </c>
      <c r="D11" s="11" t="s">
        <v>165</v>
      </c>
      <c r="E11" s="13" t="s">
        <v>16</v>
      </c>
    </row>
    <row r="12" spans="1:5" ht="45.75" customHeight="1">
      <c r="A12" s="15" t="s">
        <v>166</v>
      </c>
      <c r="B12" s="16" t="s">
        <v>167</v>
      </c>
      <c r="C12" s="16" t="s">
        <v>168</v>
      </c>
      <c r="D12" s="16" t="s">
        <v>169</v>
      </c>
      <c r="E12" s="13" t="s">
        <v>16</v>
      </c>
    </row>
    <row r="13" spans="1:5" ht="45.75" customHeight="1">
      <c r="A13" s="10" t="s">
        <v>170</v>
      </c>
      <c r="B13" s="11" t="s">
        <v>171</v>
      </c>
      <c r="C13" s="11" t="s">
        <v>172</v>
      </c>
      <c r="D13" s="11" t="s">
        <v>173</v>
      </c>
      <c r="E13" s="18" t="s">
        <v>17</v>
      </c>
    </row>
    <row r="14" spans="1:5" ht="45.75" customHeight="1">
      <c r="A14" s="15" t="s">
        <v>174</v>
      </c>
      <c r="B14" s="16" t="s">
        <v>175</v>
      </c>
      <c r="C14" s="16" t="s">
        <v>176</v>
      </c>
      <c r="D14" s="16" t="s">
        <v>177</v>
      </c>
      <c r="E14" s="18" t="s">
        <v>17</v>
      </c>
    </row>
    <row r="15" spans="1:5" ht="45.75" customHeight="1">
      <c r="A15" s="10" t="s">
        <v>178</v>
      </c>
      <c r="B15" s="11" t="s">
        <v>179</v>
      </c>
      <c r="C15" s="11" t="s">
        <v>180</v>
      </c>
      <c r="D15" s="11" t="s">
        <v>181</v>
      </c>
      <c r="E15" s="18" t="s">
        <v>17</v>
      </c>
    </row>
  </sheetData>
  <autoFilter ref="A4:E15" xr:uid="{00000000-0009-0000-0000-000002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Carlos Medina Moreno</cp:lastModifiedBy>
  <cp:revision>0</cp:revision>
  <dcterms:created xsi:type="dcterms:W3CDTF">2026-08-28T23:34:57Z</dcterms:created>
  <dcterms:modified xsi:type="dcterms:W3CDTF">2026-09-05T00:11:12Z</dcterms:modified>
  <cp:category/>
  <cp:contentStatus/>
</cp:coreProperties>
</file>